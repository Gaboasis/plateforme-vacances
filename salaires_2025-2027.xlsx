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ACD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64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0" fontId="1" fillId="6" borderId="1" applyAlignment="1" pivotButton="0" quotePrefix="0" xfId="0">
      <alignment horizontal="left"/>
    </xf>
    <xf numFmtId="0" fontId="1" fillId="6" borderId="1" pivotButton="0" quotePrefix="0" xfId="0"/>
    <xf numFmtId="164" fontId="1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24" customWidth="1" min="3" max="3"/>
    <col width="14" customWidth="1" min="4" max="4"/>
    <col width="14" customWidth="1" min="5" max="5"/>
    <col width="14" customWidth="1" min="6" max="6"/>
    <col width="11" customWidth="1" min="7" max="7"/>
    <col width="15" customWidth="1" min="8" max="8"/>
    <col width="15" customWidth="1" min="9" max="9"/>
    <col width="15" customWidth="1" min="10" max="10"/>
  </cols>
  <sheetData>
    <row r="1" ht="28" customHeight="1">
      <c r="A1" s="1" t="n"/>
      <c r="B1" s="1" t="n"/>
      <c r="C1" s="1" t="n"/>
      <c r="D1" s="2" t="inlineStr">
        <is>
          <t>2025-2026</t>
        </is>
      </c>
      <c r="E1" s="1" t="n"/>
      <c r="F1" s="1" t="n"/>
      <c r="G1" s="3" t="inlineStr">
        <is>
          <t>Augmentation %
(modifiable)</t>
        </is>
      </c>
      <c r="H1" s="4" t="inlineStr">
        <is>
          <t>2026-2027</t>
        </is>
      </c>
      <c r="I1" s="1" t="n"/>
      <c r="J1" s="5" t="inlineStr">
        <is>
          <t>Augmentation $</t>
        </is>
      </c>
    </row>
    <row r="2" ht="40" customHeight="1">
      <c r="A2" s="5" t="inlineStr">
        <is>
          <t>Dossier</t>
        </is>
      </c>
      <c r="B2" s="5" t="inlineStr">
        <is>
          <t>Nom</t>
        </is>
      </c>
      <c r="C2" s="5" t="inlineStr">
        <is>
          <t>Catégorie</t>
        </is>
      </c>
      <c r="D2" s="2" t="inlineStr">
        <is>
          <t>Taux horaire</t>
        </is>
      </c>
      <c r="E2" s="2" t="inlineStr">
        <is>
          <t>Hres/année</t>
        </is>
      </c>
      <c r="F2" s="2" t="inlineStr">
        <is>
          <t>Salaire/année</t>
        </is>
      </c>
      <c r="G2" s="3" t="inlineStr">
        <is>
          <t>Hausse
(%)</t>
        </is>
      </c>
      <c r="H2" s="6" t="inlineStr">
        <is>
          <t>Taux horaire</t>
        </is>
      </c>
      <c r="I2" s="6" t="inlineStr">
        <is>
          <t>Salaire/année</t>
        </is>
      </c>
      <c r="J2" s="5" t="inlineStr">
        <is>
          <t>26-27 vs 25-26</t>
        </is>
      </c>
    </row>
    <row r="3">
      <c r="A3" s="1" t="n">
        <v>1507</v>
      </c>
      <c r="B3" s="1" t="inlineStr">
        <is>
          <t>Al Chafei Amneh</t>
        </is>
      </c>
      <c r="C3" s="1" t="inlineStr">
        <is>
          <t>Cuisinière</t>
        </is>
      </c>
      <c r="D3" s="7" t="n">
        <v>18.36</v>
      </c>
      <c r="E3" s="8" t="n">
        <v>1440</v>
      </c>
      <c r="F3" s="7">
        <f>D3*E3</f>
        <v/>
      </c>
      <c r="G3" s="9" t="n">
        <v>5.01</v>
      </c>
      <c r="H3" s="7">
        <f>ROUND(D3*(1+G3/100),2)</f>
        <v/>
      </c>
      <c r="I3" s="7">
        <f>ROUND(H3*E3,2)</f>
        <v/>
      </c>
      <c r="J3" s="7">
        <f>I3-F3</f>
        <v/>
      </c>
    </row>
    <row r="4">
      <c r="A4" s="1" t="n">
        <v>657</v>
      </c>
      <c r="B4" s="1" t="inlineStr">
        <is>
          <t>Bachtaka, Saliha</t>
        </is>
      </c>
      <c r="C4" s="1" t="inlineStr">
        <is>
          <t>Éducatrice qualifiée</t>
        </is>
      </c>
      <c r="D4" s="7" t="n">
        <v>25.5</v>
      </c>
      <c r="E4" s="8" t="n">
        <v>1600</v>
      </c>
      <c r="F4" s="7">
        <f>D4*E4</f>
        <v/>
      </c>
      <c r="G4" s="9" t="n">
        <v>5.02</v>
      </c>
      <c r="H4" s="7">
        <f>ROUND(D4*(1+G4/100),2)</f>
        <v/>
      </c>
      <c r="I4" s="7">
        <f>ROUND(H4*E4,2)</f>
        <v/>
      </c>
      <c r="J4" s="7">
        <f>I4-F4</f>
        <v/>
      </c>
    </row>
    <row r="5">
      <c r="A5" s="1" t="n">
        <v>81</v>
      </c>
      <c r="B5" s="1" t="inlineStr">
        <is>
          <t>Bouazza Azza</t>
        </is>
      </c>
      <c r="C5" s="1" t="inlineStr">
        <is>
          <t>Éducatrice non qualifiée</t>
        </is>
      </c>
      <c r="D5" s="7" t="n">
        <v>19</v>
      </c>
      <c r="E5" s="8" t="n">
        <v>1750</v>
      </c>
      <c r="F5" s="7">
        <f>D5*E5</f>
        <v/>
      </c>
      <c r="G5" s="9" t="n">
        <v>5</v>
      </c>
      <c r="H5" s="7">
        <f>ROUND(D5*(1+G5/100),2)</f>
        <v/>
      </c>
      <c r="I5" s="7">
        <f>ROUND(H5*E5,2)</f>
        <v/>
      </c>
      <c r="J5" s="7">
        <f>I5-F5</f>
        <v/>
      </c>
    </row>
    <row r="6">
      <c r="A6" s="1" t="n">
        <v>826</v>
      </c>
      <c r="B6" s="1" t="inlineStr">
        <is>
          <t>Cheikh-El-Najjarine, Hanady</t>
        </is>
      </c>
      <c r="C6" s="1" t="inlineStr">
        <is>
          <t>Éducatrice non qualifiée</t>
        </is>
      </c>
      <c r="D6" s="7" t="n">
        <v>21</v>
      </c>
      <c r="E6" s="8" t="n">
        <v>1840</v>
      </c>
      <c r="F6" s="7">
        <f>D6*E6</f>
        <v/>
      </c>
      <c r="G6" s="9" t="n">
        <v>5</v>
      </c>
      <c r="H6" s="7">
        <f>ROUND(D6*(1+G6/100),2)</f>
        <v/>
      </c>
      <c r="I6" s="7">
        <f>ROUND(H6*E6,2)</f>
        <v/>
      </c>
      <c r="J6" s="7">
        <f>I6-F6</f>
        <v/>
      </c>
    </row>
    <row r="7">
      <c r="A7" s="1" t="n">
        <v>203</v>
      </c>
      <c r="B7" s="1" t="inlineStr">
        <is>
          <t>Cherbib, Rafika</t>
        </is>
      </c>
      <c r="C7" s="1" t="inlineStr">
        <is>
          <t>Éducatrice qualifiée</t>
        </is>
      </c>
      <c r="D7" s="7" t="n">
        <v>25</v>
      </c>
      <c r="E7" s="8" t="n">
        <v>1560</v>
      </c>
      <c r="F7" s="7">
        <f>D7*E7</f>
        <v/>
      </c>
      <c r="G7" s="9" t="n">
        <v>5</v>
      </c>
      <c r="H7" s="7">
        <f>ROUND(D7*(1+G7/100),2)</f>
        <v/>
      </c>
      <c r="I7" s="7">
        <f>ROUND(H7*E7,2)</f>
        <v/>
      </c>
      <c r="J7" s="7">
        <f>I7-F7</f>
        <v/>
      </c>
    </row>
    <row r="8">
      <c r="A8" s="1" t="n">
        <v>1251</v>
      </c>
      <c r="B8" s="1" t="inlineStr">
        <is>
          <t>ElAlti Loubaba</t>
        </is>
      </c>
      <c r="C8" s="1" t="inlineStr">
        <is>
          <t>Éducatrice non qualifiée</t>
        </is>
      </c>
      <c r="D8" s="7" t="n">
        <v>21</v>
      </c>
      <c r="E8" s="8" t="n">
        <v>1750</v>
      </c>
      <c r="F8" s="7">
        <f>D8*E8</f>
        <v/>
      </c>
      <c r="G8" s="9" t="n">
        <v>5</v>
      </c>
      <c r="H8" s="7">
        <f>ROUND(D8*(1+G8/100),2)</f>
        <v/>
      </c>
      <c r="I8" s="7">
        <f>ROUND(H8*E8,2)</f>
        <v/>
      </c>
      <c r="J8" s="7">
        <f>I8-F8</f>
        <v/>
      </c>
    </row>
    <row r="9">
      <c r="A9" s="1" t="n">
        <v>1657</v>
      </c>
      <c r="B9" s="1" t="inlineStr">
        <is>
          <t>El Bhetouri Karima</t>
        </is>
      </c>
      <c r="C9" s="1" t="inlineStr">
        <is>
          <t>Éducatrice qualifiée</t>
        </is>
      </c>
      <c r="D9" s="7" t="n">
        <v>25</v>
      </c>
      <c r="E9" s="8" t="n">
        <v>1750</v>
      </c>
      <c r="F9" s="7">
        <f>D9*E9</f>
        <v/>
      </c>
      <c r="G9" s="9" t="n">
        <v>5</v>
      </c>
      <c r="H9" s="7">
        <f>ROUND(D9*(1+G9/100),2)</f>
        <v/>
      </c>
      <c r="I9" s="7">
        <f>ROUND(H9*E9,2)</f>
        <v/>
      </c>
      <c r="J9" s="7">
        <f>I9-F9</f>
        <v/>
      </c>
    </row>
    <row r="10">
      <c r="A10" s="1" t="n">
        <v>441</v>
      </c>
      <c r="B10" s="1" t="inlineStr">
        <is>
          <t>Ghazzawi, Rana</t>
        </is>
      </c>
      <c r="C10" s="1" t="inlineStr">
        <is>
          <t>Éducatrice qualifiée</t>
        </is>
      </c>
      <c r="D10" s="7" t="n">
        <v>27.6</v>
      </c>
      <c r="E10" s="8" t="n">
        <v>1750</v>
      </c>
      <c r="F10" s="7">
        <f>D10*E10</f>
        <v/>
      </c>
      <c r="G10" s="9" t="n">
        <v>5</v>
      </c>
      <c r="H10" s="7">
        <f>ROUND(D10*(1+G10/100),2)</f>
        <v/>
      </c>
      <c r="I10" s="7">
        <f>ROUND(H10*E10,2)</f>
        <v/>
      </c>
      <c r="J10" s="7">
        <f>I10-F10</f>
        <v/>
      </c>
    </row>
    <row r="11">
      <c r="A11" s="1" t="n">
        <v>1666</v>
      </c>
      <c r="B11" s="1" t="inlineStr">
        <is>
          <t>Haidar Ahmad Manal</t>
        </is>
      </c>
      <c r="C11" s="1" t="inlineStr">
        <is>
          <t>Educatrice non qualifiée</t>
        </is>
      </c>
      <c r="D11" s="7" t="n">
        <v>19</v>
      </c>
      <c r="E11" s="8" t="n">
        <v>1540</v>
      </c>
      <c r="F11" s="7">
        <f>D11*E11</f>
        <v/>
      </c>
      <c r="G11" s="9" t="n">
        <v>5</v>
      </c>
      <c r="H11" s="7">
        <f>ROUND(D11*(1+G11/100),2)</f>
        <v/>
      </c>
      <c r="I11" s="7">
        <f>ROUND(H11*E11,2)</f>
        <v/>
      </c>
      <c r="J11" s="7">
        <f>I11-F11</f>
        <v/>
      </c>
    </row>
    <row r="12">
      <c r="A12" s="1" t="n">
        <v>1576</v>
      </c>
      <c r="B12" s="1" t="inlineStr">
        <is>
          <t>Hemiss Om El Khir</t>
        </is>
      </c>
      <c r="C12" s="1" t="inlineStr">
        <is>
          <t>Éducatrice non qualifiée</t>
        </is>
      </c>
      <c r="D12" s="7" t="n">
        <v>20</v>
      </c>
      <c r="E12" s="8" t="n">
        <v>800</v>
      </c>
      <c r="F12" s="7">
        <f>D12*E12</f>
        <v/>
      </c>
      <c r="G12" s="9" t="n">
        <v>5</v>
      </c>
      <c r="H12" s="7">
        <f>ROUND(D12*(1+G12/100),2)</f>
        <v/>
      </c>
      <c r="I12" s="7">
        <f>ROUND(H12*E12,2)</f>
        <v/>
      </c>
      <c r="J12" s="7">
        <f>I12-F12</f>
        <v/>
      </c>
    </row>
    <row r="13">
      <c r="A13" s="1" t="n">
        <v>560</v>
      </c>
      <c r="B13" s="1" t="inlineStr">
        <is>
          <t>Kendakji, Zoukaa</t>
        </is>
      </c>
      <c r="C13" s="1" t="inlineStr">
        <is>
          <t>Préposée</t>
        </is>
      </c>
      <c r="D13" s="7" t="n">
        <v>18</v>
      </c>
      <c r="E13" s="8" t="n">
        <v>1760</v>
      </c>
      <c r="F13" s="7">
        <f>D13*E13</f>
        <v/>
      </c>
      <c r="G13" s="9" t="n">
        <v>5</v>
      </c>
      <c r="H13" s="7">
        <f>ROUND(D13*(1+G13/100),2)</f>
        <v/>
      </c>
      <c r="I13" s="7">
        <f>ROUND(H13*E13,2)</f>
        <v/>
      </c>
      <c r="J13" s="7">
        <f>I13-F13</f>
        <v/>
      </c>
    </row>
    <row r="14">
      <c r="A14" s="1" t="n">
        <v>1550</v>
      </c>
      <c r="B14" s="1" t="inlineStr">
        <is>
          <t>Noussir Hajar</t>
        </is>
      </c>
      <c r="C14" s="1" t="inlineStr">
        <is>
          <t>Remplaçante</t>
        </is>
      </c>
      <c r="D14" s="7" t="n">
        <v>18.25</v>
      </c>
      <c r="E14" s="8" t="n">
        <v>1125</v>
      </c>
      <c r="F14" s="7">
        <f>D14*E14</f>
        <v/>
      </c>
      <c r="G14" s="9" t="n">
        <v>4.99</v>
      </c>
      <c r="H14" s="7">
        <f>ROUND(D14*(1+G14/100),2)</f>
        <v/>
      </c>
      <c r="I14" s="7">
        <f>ROUND(H14*E14,2)</f>
        <v/>
      </c>
      <c r="J14" s="7">
        <f>I14-F14</f>
        <v/>
      </c>
    </row>
    <row r="15">
      <c r="A15" s="1" t="n">
        <v>759</v>
      </c>
      <c r="B15" s="1" t="inlineStr">
        <is>
          <t>Ramadan, Kamar</t>
        </is>
      </c>
      <c r="C15" s="1" t="inlineStr">
        <is>
          <t>Adjointe administrative</t>
        </is>
      </c>
      <c r="D15" s="7" t="n">
        <v>21.5</v>
      </c>
      <c r="E15" s="8" t="n">
        <v>1680</v>
      </c>
      <c r="F15" s="7">
        <f>D15*E15</f>
        <v/>
      </c>
      <c r="G15" s="9" t="n">
        <v>5.02</v>
      </c>
      <c r="H15" s="7">
        <f>ROUND(D15*(1+G15/100),2)</f>
        <v/>
      </c>
      <c r="I15" s="7">
        <f>ROUND(H15*E15,2)</f>
        <v/>
      </c>
      <c r="J15" s="7">
        <f>I15-F15</f>
        <v/>
      </c>
    </row>
    <row r="16">
      <c r="A16" s="1" t="n">
        <v>1370</v>
      </c>
      <c r="B16" s="1" t="inlineStr">
        <is>
          <t>Romdhane, Souhir</t>
        </is>
      </c>
      <c r="C16" s="1" t="inlineStr">
        <is>
          <t>Éducatrice qualifiée</t>
        </is>
      </c>
      <c r="D16" s="7" t="n">
        <v>26</v>
      </c>
      <c r="E16" s="8" t="n">
        <v>1400</v>
      </c>
      <c r="F16" s="7">
        <f>D16*E16</f>
        <v/>
      </c>
      <c r="G16" s="9" t="n">
        <v>5</v>
      </c>
      <c r="H16" s="7">
        <f>ROUND(D16*(1+G16/100),2)</f>
        <v/>
      </c>
      <c r="I16" s="7">
        <f>ROUND(H16*E16,2)</f>
        <v/>
      </c>
      <c r="J16" s="7">
        <f>I16-F16</f>
        <v/>
      </c>
    </row>
    <row r="17">
      <c r="A17" s="10" t="inlineStr">
        <is>
          <t>TOTAL</t>
        </is>
      </c>
      <c r="B17" s="11" t="n"/>
      <c r="C17" s="11" t="n"/>
      <c r="D17" s="11" t="n"/>
      <c r="E17" s="11" t="n"/>
      <c r="F17" s="12">
        <f>SUM(F3:F16)</f>
        <v/>
      </c>
      <c r="G17" s="11" t="n"/>
      <c r="H17" s="11" t="n"/>
      <c r="I17" s="12">
        <f>SUM(I3:I16)</f>
        <v/>
      </c>
      <c r="J17" s="12">
        <f>SUM(J3:J16)</f>
        <v/>
      </c>
    </row>
  </sheetData>
  <mergeCells count="2">
    <mergeCell ref="D1:F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2026-04-06T19:08:32Z</dcterms:created>
  <dcterms:modified xsi:type="dcterms:W3CDTF">2026-04-06T19:08:32Z</dcterms:modified>
</cp:coreProperties>
</file>